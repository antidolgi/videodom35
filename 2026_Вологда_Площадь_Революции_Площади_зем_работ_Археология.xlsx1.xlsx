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ЗЕМработ" sheetId="3" r:id="rId1"/>
  </sheets>
  <definedNames>
    <definedName name="_xlnm.Print_Area" localSheetId="0">ЗЕМработ!$A$2:$F$56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<sst xmlns="http://schemas.openxmlformats.org/spreadsheetml/2006/main" count="96" uniqueCount="53">
  <si>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Утверждаю:
Руководитель обособленного подразделения  ООО «БЕРСО»
_____________________ /Тараканов А.П./
мп</t>
  </si>
  <si>
    <t>Согласовано:
Директор ООО «НПЦ «Артефакт»
___________________ /Федоров А.С./
мп</t>
  </si>
  <si>
    <t>Ведомость объемов земляных работ по объекту 
«Благоустройство территорий в городе Вологде: площадь Возрождения, площадь Революции, сквер у церкви Иоанна Предтечи в Рощенье» (Этап II)</t>
  </si>
  <si>
    <t>№п/п</t>
  </si>
  <si>
    <t>Номер ЛСР, раздела</t>
  </si>
  <si>
    <t>Площадь, м2</t>
  </si>
  <si>
    <t>Глубина, м</t>
  </si>
  <si>
    <t>Объём, м3</t>
  </si>
  <si>
    <t>Форма арх . Работ</t>
  </si>
  <si>
    <t xml:space="preserve"> Покрытия</t>
  </si>
  <si>
    <t>Тротуарная плитка</t>
  </si>
  <si>
    <t>наблюдения</t>
  </si>
  <si>
    <t>Бортовые камни 400х400мм, 351,69 м</t>
  </si>
  <si>
    <t>Бортовые камни 200х400мм, 1628,03 м</t>
  </si>
  <si>
    <r>
      <rPr>
        <sz val="12"/>
        <color theme="1"/>
        <rFont val="Times New Roman"/>
        <charset val="204"/>
      </rPr>
      <t>Подбетонка (</t>
    </r>
    <r>
      <rPr>
        <u/>
        <sz val="12"/>
        <color theme="1"/>
        <rFont val="Times New Roman"/>
        <charset val="204"/>
      </rPr>
      <t>под плитку, не учтена в расчете</t>
    </r>
    <r>
      <rPr>
        <sz val="12"/>
        <color theme="1"/>
        <rFont val="Times New Roman"/>
        <charset val="204"/>
      </rPr>
      <t>)</t>
    </r>
  </si>
  <si>
    <t>Дорожный асфальт парковки с подстилающими</t>
  </si>
  <si>
    <t>Пандус, 5 шт.</t>
  </si>
  <si>
    <t>Итого по разделу</t>
  </si>
  <si>
    <t xml:space="preserve"> Покрытия (доп. объем)</t>
  </si>
  <si>
    <t>Бортовые камни 200х200мм, 55,1 м</t>
  </si>
  <si>
    <t>Бортовые камни 200х400мм, 379,9 м</t>
  </si>
  <si>
    <t>Дорожный асфальт с подстилающими</t>
  </si>
  <si>
    <t>Тротуарный асфальт с подстилающими</t>
  </si>
  <si>
    <t xml:space="preserve"> Индивидуальные конструкции</t>
  </si>
  <si>
    <t>Фундамент</t>
  </si>
  <si>
    <t>0,32 (сваи)</t>
  </si>
  <si>
    <t>раскопки</t>
  </si>
  <si>
    <t xml:space="preserve"> Освещение</t>
  </si>
  <si>
    <t>Траншея, 1185*0,5 м</t>
  </si>
  <si>
    <t>Фонари, 66 шт.*0,09 м2</t>
  </si>
  <si>
    <t>Торшеры, 59 шт. 0,09 м2</t>
  </si>
  <si>
    <t xml:space="preserve"> Освещение (доп. объем)</t>
  </si>
  <si>
    <t>Траншея, 194,4*0,5 м</t>
  </si>
  <si>
    <t>Фонари, 6 шт.*0,09 м2</t>
  </si>
  <si>
    <t>Торшеры, 140 шт. 0,09 м2</t>
  </si>
  <si>
    <t xml:space="preserve"> Видеонаблюдение</t>
  </si>
  <si>
    <t>Фундамент под шкафы, 4 шт.</t>
  </si>
  <si>
    <t>Траншея, 1500*0,5 м</t>
  </si>
  <si>
    <t>наблюдения /раскопки</t>
  </si>
  <si>
    <t xml:space="preserve"> НВК</t>
  </si>
  <si>
    <t>Колодцы, 85шт.</t>
  </si>
  <si>
    <t>1,6-2,75</t>
  </si>
  <si>
    <t xml:space="preserve">Трубы холодное водоснабжение В1, </t>
  </si>
  <si>
    <t xml:space="preserve">Трубы ливневой канализации К2, </t>
  </si>
  <si>
    <t>Хозбытовая канализация К1,</t>
  </si>
  <si>
    <t>Дренаж</t>
  </si>
  <si>
    <t>Озеленение</t>
  </si>
  <si>
    <t>Газон</t>
  </si>
  <si>
    <t>нет</t>
  </si>
  <si>
    <t>Цветники</t>
  </si>
  <si>
    <t>Озеленение (доп. объем)</t>
  </si>
  <si>
    <t>ИТОГО*</t>
  </si>
  <si>
    <t>*Общая площадь земляных работ включает площади благоустройства и участки земляных работ по трассам сетей, залегающие ниже горизонта благоустройства.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</si>
</sst>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 ##0.00\ _₽_-;\-* #\ ##0.00\ _₽_-;_-* &quot;-&quot;??\ _₽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</numFmts>
  <fonts count="28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4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name val="Times New Roman"/>
      <charset val="204"/>
    </font>
    <font>
      <sz val="12"/>
      <color theme="0" tint="-0.49998474074526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yr"/>
      <charset val="204"/>
    </font>
    <font>
      <u/>
      <sz val="12"/>
      <color theme="1"/>
      <name val="Times New Roman"/>
      <charset val="20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76" fontId="1" fillId="3" borderId="2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/>
    </xf>
    <xf numFmtId="180" fontId="4" fillId="2" borderId="0" xfId="0" applyNumberFormat="1" applyFont="1" applyFill="1" applyBorder="1" applyAlignment="1">
      <alignment horizont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5" fillId="2" borderId="2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76" fontId="3" fillId="2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76" fontId="1" fillId="0" borderId="0" xfId="0" applyNumberFormat="1" applyFont="1" applyBorder="1"/>
    <xf numFmtId="176" fontId="1" fillId="0" borderId="0" xfId="0" applyNumberFormat="1" applyFont="1"/>
    <xf numFmtId="0" fontId="1" fillId="3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4" borderId="2" xfId="1" applyFont="1" applyFill="1" applyBorder="1" applyAlignment="1">
      <alignment horizontal="center" vertical="center" wrapText="1"/>
    </xf>
    <xf numFmtId="176" fontId="1" fillId="2" borderId="2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176" fontId="1" fillId="4" borderId="0" xfId="0" applyNumberFormat="1" applyFont="1" applyFill="1" applyAlignment="1">
      <alignment horizontal="right"/>
    </xf>
    <xf numFmtId="176" fontId="4" fillId="2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76" fontId="3" fillId="2" borderId="5" xfId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3" fillId="2" borderId="6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176" fontId="1" fillId="2" borderId="2" xfId="0" applyNumberFormat="1" applyFont="1" applyFill="1" applyBorder="1"/>
    <xf numFmtId="0" fontId="1" fillId="0" borderId="7" xfId="0" applyFont="1" applyBorder="1" applyAlignment="1">
      <alignment horizontal="left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colors>
    <mruColors>
      <color rgb="00FECA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BY57"/>
  <sheetViews>
    <sheetView tabSelected="1" topLeftCell="A2" workbookViewId="0">
      <pane xSplit="6" ySplit="4" topLeftCell="G50" activePane="bottomRight" state="frozen"/>
      <selection/>
      <selection pane="topRight"/>
      <selection pane="bottomLeft"/>
      <selection pane="bottomRight" activeCell="J3" sqref="J3"/>
    </sheetView>
  </sheetViews>
  <sheetFormatPr defaultColWidth="9" defaultRowHeight="15.5"/>
  <cols>
    <col min="1" max="1" width="6.54545454545455" style="2" customWidth="1"/>
    <col min="2" max="2" width="45.6363636363636" style="2" customWidth="1"/>
    <col min="3" max="4" width="13.7272727272727" style="2" customWidth="1"/>
    <col min="5" max="5" width="13.7272727272727" style="2" hidden="1" customWidth="1"/>
    <col min="6" max="6" width="18" style="2" customWidth="1"/>
    <col min="7" max="7" width="11.5454545454545" style="2" customWidth="1"/>
    <col min="8" max="8" width="12.8181818181818" style="2" customWidth="1"/>
    <col min="9" max="16384" width="8.72727272727273" style="2"/>
  </cols>
  <sheetData>
    <row r="2" ht="135.5" customHeight="1" spans="1:9">
      <c r="A2" s="3" t="s">
        <v>0</v>
      </c>
      <c r="B2" s="4"/>
      <c r="C2" s="3" t="s">
        <v>1</v>
      </c>
      <c r="D2" s="4"/>
      <c r="E2" s="4"/>
      <c r="F2" s="4"/>
    </row>
    <row r="3" ht="57.5" customHeight="1" spans="1:9">
      <c r="A3" s="5" t="s">
        <v>2</v>
      </c>
      <c r="B3" s="6"/>
      <c r="C3" s="6"/>
      <c r="D3" s="6"/>
      <c r="E3" s="6"/>
      <c r="F3" s="6"/>
    </row>
    <row r="4" spans="1:9">
      <c r="H4" s="7"/>
      <c r="I4" s="7"/>
    </row>
    <row r="5" ht="28" customHeight="1" spans="1:9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H5" s="7"/>
      <c r="I5" s="7"/>
    </row>
    <row r="6" spans="1:9">
      <c r="A6" s="10" t="s">
        <v>9</v>
      </c>
      <c r="B6" s="11"/>
      <c r="C6" s="11"/>
      <c r="D6" s="11"/>
      <c r="E6" s="11"/>
      <c r="F6" s="12"/>
      <c r="H6" s="7"/>
      <c r="I6" s="7"/>
    </row>
    <row r="7" spans="1:9">
      <c r="A7" s="13">
        <v>1</v>
      </c>
      <c r="B7" s="14" t="s">
        <v>10</v>
      </c>
      <c r="C7" s="15">
        <v>17956.96</v>
      </c>
      <c r="D7" s="16">
        <v>0.1</v>
      </c>
      <c r="E7" s="17">
        <v>2220</v>
      </c>
      <c r="F7" s="18" t="s">
        <v>11</v>
      </c>
      <c r="H7" s="19"/>
      <c r="I7" s="7"/>
    </row>
    <row r="8" spans="1:9">
      <c r="A8" s="13">
        <v>2</v>
      </c>
      <c r="B8" s="14" t="s">
        <v>12</v>
      </c>
      <c r="C8" s="15">
        <f>351.69*0.6</f>
        <v>211.014</v>
      </c>
      <c r="D8" s="16">
        <v>0.4</v>
      </c>
      <c r="E8" s="20">
        <f t="shared" ref="E8:E12" si="0">C8*D8</f>
        <v>84.4056</v>
      </c>
      <c r="F8" s="18" t="s">
        <v>11</v>
      </c>
      <c r="H8" s="7"/>
      <c r="I8" s="7"/>
    </row>
    <row r="9" spans="1:9">
      <c r="A9" s="13">
        <f t="shared" ref="A9" si="1">A8+1</f>
        <v>3</v>
      </c>
      <c r="B9" s="14" t="s">
        <v>13</v>
      </c>
      <c r="C9" s="15">
        <f>1628.03*0.4</f>
        <v>651.212</v>
      </c>
      <c r="D9" s="16">
        <v>0.4</v>
      </c>
      <c r="E9" s="20">
        <f t="shared" si="0"/>
        <v>260.4848</v>
      </c>
      <c r="F9" s="18" t="s">
        <v>11</v>
      </c>
      <c r="H9" s="7"/>
      <c r="I9" s="7"/>
    </row>
    <row r="10" spans="1:9">
      <c r="A10" s="13">
        <v>4</v>
      </c>
      <c r="B10" s="14" t="s">
        <v>14</v>
      </c>
      <c r="C10" s="21">
        <v>17956.96</v>
      </c>
      <c r="D10" s="16">
        <v>0.1</v>
      </c>
      <c r="E10" s="17">
        <v>1820</v>
      </c>
      <c r="F10" s="22"/>
      <c r="H10" s="7"/>
      <c r="I10" s="7"/>
    </row>
    <row r="11" spans="1:9">
      <c r="A11" s="13">
        <v>5</v>
      </c>
      <c r="B11" s="14" t="s">
        <v>15</v>
      </c>
      <c r="C11" s="15">
        <v>190.9</v>
      </c>
      <c r="D11" s="16">
        <v>0.3</v>
      </c>
      <c r="E11" s="17">
        <v>57.27</v>
      </c>
      <c r="F11" s="18" t="s">
        <v>11</v>
      </c>
      <c r="H11" s="7"/>
      <c r="I11" s="7"/>
    </row>
    <row r="12" spans="1:9">
      <c r="A12" s="13">
        <v>6</v>
      </c>
      <c r="B12" s="14" t="s">
        <v>16</v>
      </c>
      <c r="C12" s="15">
        <v>30</v>
      </c>
      <c r="D12" s="16">
        <v>0.63</v>
      </c>
      <c r="E12" s="20">
        <f t="shared" si="0"/>
        <v>18.9</v>
      </c>
      <c r="F12" s="18" t="s">
        <v>11</v>
      </c>
      <c r="H12" s="7"/>
      <c r="I12" s="7"/>
    </row>
    <row r="13" spans="1:9">
      <c r="A13" s="13"/>
      <c r="B13" s="23" t="s">
        <v>17</v>
      </c>
      <c r="C13" s="24">
        <f>SUM(C7,C8,C9,C11,C12)</f>
        <v>19040.086</v>
      </c>
      <c r="D13" s="25"/>
      <c r="E13" s="24">
        <f>SUM(E7:E12)</f>
        <v>4461.0604</v>
      </c>
      <c r="F13" s="18" t="s">
        <v>11</v>
      </c>
      <c r="H13" s="26"/>
      <c r="I13" s="7"/>
    </row>
    <row r="14" spans="1:9">
      <c r="A14" s="10" t="s">
        <v>18</v>
      </c>
      <c r="B14" s="11"/>
      <c r="C14" s="11"/>
      <c r="D14" s="11"/>
      <c r="E14" s="11"/>
      <c r="F14" s="12"/>
      <c r="H14" s="27"/>
    </row>
    <row r="15" spans="1:9">
      <c r="A15" s="13">
        <v>7</v>
      </c>
      <c r="B15" s="14" t="s">
        <v>10</v>
      </c>
      <c r="C15" s="15">
        <v>1339.55</v>
      </c>
      <c r="D15" s="16">
        <v>0.1</v>
      </c>
      <c r="E15" s="17">
        <v>2220</v>
      </c>
      <c r="F15" s="18" t="s">
        <v>11</v>
      </c>
      <c r="H15" s="27"/>
    </row>
    <row r="16" spans="1:9">
      <c r="A16" s="13">
        <v>8</v>
      </c>
      <c r="B16" s="14" t="s">
        <v>10</v>
      </c>
      <c r="C16" s="15">
        <v>3387.03</v>
      </c>
      <c r="D16" s="16">
        <v>0.8</v>
      </c>
      <c r="E16" s="17"/>
      <c r="F16" s="18" t="s">
        <v>11</v>
      </c>
      <c r="H16" s="27"/>
    </row>
    <row r="17" spans="1:77">
      <c r="A17" s="13">
        <v>9</v>
      </c>
      <c r="B17" s="14" t="s">
        <v>19</v>
      </c>
      <c r="C17" s="15">
        <f>55.1*0.4</f>
        <v>22.04</v>
      </c>
      <c r="D17" s="16">
        <v>0.4</v>
      </c>
      <c r="E17" s="20">
        <f t="shared" ref="E17:E21" si="2">C17*D17</f>
        <v>8.816</v>
      </c>
      <c r="F17" s="18" t="s">
        <v>11</v>
      </c>
      <c r="H17" s="27"/>
    </row>
    <row r="18" spans="1:77">
      <c r="A18" s="13">
        <v>10</v>
      </c>
      <c r="B18" s="14" t="s">
        <v>20</v>
      </c>
      <c r="C18" s="15">
        <f>379.9*0.4</f>
        <v>151.96</v>
      </c>
      <c r="D18" s="16">
        <v>0.4</v>
      </c>
      <c r="E18" s="20">
        <f t="shared" si="2"/>
        <v>60.784</v>
      </c>
      <c r="F18" s="18" t="s">
        <v>11</v>
      </c>
      <c r="H18" s="27"/>
    </row>
    <row r="19" spans="1:77">
      <c r="A19" s="13">
        <v>11</v>
      </c>
      <c r="B19" s="14" t="s">
        <v>14</v>
      </c>
      <c r="C19" s="21">
        <v>4726.58</v>
      </c>
      <c r="D19" s="16">
        <v>0.1</v>
      </c>
      <c r="E19" s="17">
        <v>1820</v>
      </c>
      <c r="F19" s="22"/>
      <c r="H19" s="27"/>
    </row>
    <row r="20" spans="1:77">
      <c r="A20" s="13">
        <v>12</v>
      </c>
      <c r="B20" s="14" t="s">
        <v>21</v>
      </c>
      <c r="C20" s="15">
        <v>817.56</v>
      </c>
      <c r="D20" s="16">
        <v>0.3</v>
      </c>
      <c r="E20" s="17">
        <v>57.27</v>
      </c>
      <c r="F20" s="18" t="s">
        <v>11</v>
      </c>
      <c r="H20" s="27"/>
    </row>
    <row r="21" spans="1:77">
      <c r="A21" s="13">
        <v>13</v>
      </c>
      <c r="B21" s="14" t="s">
        <v>22</v>
      </c>
      <c r="C21" s="15">
        <v>25.43</v>
      </c>
      <c r="D21" s="16">
        <v>0.63</v>
      </c>
      <c r="E21" s="20">
        <f t="shared" si="2"/>
        <v>16.0209</v>
      </c>
      <c r="F21" s="28" t="s">
        <v>11</v>
      </c>
      <c r="G21" s="7"/>
      <c r="H21" s="26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="1" customFormat="1" ht="14.5" customHeight="1" spans="1:77">
      <c r="A22" s="13"/>
      <c r="B22" s="23" t="s">
        <v>17</v>
      </c>
      <c r="C22" s="24">
        <f>SUM(C15,C17,C18,C20,C21,C16)</f>
        <v>5743.57</v>
      </c>
      <c r="D22" s="25"/>
      <c r="E22" s="24">
        <f>SUM(E15:E21)</f>
        <v>4182.8909</v>
      </c>
      <c r="F22" s="28" t="s">
        <v>11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</row>
    <row r="23" spans="1:77">
      <c r="A23" s="30" t="s">
        <v>23</v>
      </c>
      <c r="B23" s="31"/>
      <c r="C23" s="31"/>
      <c r="D23" s="31"/>
      <c r="E23" s="31"/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77">
      <c r="A24" s="13">
        <v>14</v>
      </c>
      <c r="B24" s="14" t="s">
        <v>24</v>
      </c>
      <c r="C24" s="32">
        <v>170.6</v>
      </c>
      <c r="D24" s="13" t="s">
        <v>25</v>
      </c>
      <c r="E24" s="20">
        <v>54.2</v>
      </c>
      <c r="F24" s="33" t="s">
        <v>26</v>
      </c>
    </row>
    <row r="25" spans="1:77">
      <c r="A25" s="13"/>
      <c r="B25" s="23" t="s">
        <v>17</v>
      </c>
      <c r="C25" s="24">
        <f>C24</f>
        <v>170.6</v>
      </c>
      <c r="D25" s="25"/>
      <c r="E25" s="24" t="e">
        <f>#REF!+E24</f>
        <v>#REF!</v>
      </c>
      <c r="F25" s="33" t="s">
        <v>26</v>
      </c>
    </row>
    <row r="26" spans="1:77">
      <c r="A26" s="30" t="s">
        <v>27</v>
      </c>
      <c r="B26" s="31"/>
      <c r="C26" s="31"/>
      <c r="D26" s="31"/>
      <c r="E26" s="31"/>
      <c r="F26" s="34"/>
    </row>
    <row r="27" spans="1:77">
      <c r="A27" s="13">
        <v>15</v>
      </c>
      <c r="B27" s="14" t="s">
        <v>28</v>
      </c>
      <c r="C27" s="15">
        <f>1185*0.5</f>
        <v>592.5</v>
      </c>
      <c r="D27" s="13">
        <v>0.9</v>
      </c>
      <c r="E27" s="20">
        <f>D27*C27</f>
        <v>533.25</v>
      </c>
      <c r="F27" s="18" t="s">
        <v>11</v>
      </c>
    </row>
    <row r="28" spans="1:77">
      <c r="A28" s="13">
        <v>16</v>
      </c>
      <c r="B28" s="14" t="s">
        <v>29</v>
      </c>
      <c r="C28" s="15">
        <v>5.31</v>
      </c>
      <c r="D28" s="13">
        <v>2</v>
      </c>
      <c r="E28" s="20">
        <f>C28*D28</f>
        <v>10.62</v>
      </c>
      <c r="F28" s="18" t="s">
        <v>11</v>
      </c>
    </row>
    <row r="29" spans="1:77">
      <c r="A29" s="13">
        <v>17</v>
      </c>
      <c r="B29" s="14" t="s">
        <v>30</v>
      </c>
      <c r="C29" s="15">
        <v>5.94</v>
      </c>
      <c r="D29" s="13">
        <v>1</v>
      </c>
      <c r="E29" s="20">
        <f>C29*D29</f>
        <v>5.94</v>
      </c>
      <c r="F29" s="18" t="s">
        <v>11</v>
      </c>
    </row>
    <row r="30" spans="1:77">
      <c r="A30" s="13"/>
      <c r="B30" s="23" t="s">
        <v>17</v>
      </c>
      <c r="C30" s="24">
        <f>SUM(C27:C29)</f>
        <v>603.75</v>
      </c>
      <c r="D30" s="13"/>
      <c r="E30" s="20"/>
    </row>
    <row r="31" spans="1:77">
      <c r="A31" s="10" t="s">
        <v>31</v>
      </c>
      <c r="B31" s="11"/>
      <c r="C31" s="11"/>
      <c r="D31" s="11"/>
      <c r="E31" s="11"/>
      <c r="F31" s="12"/>
    </row>
    <row r="32" spans="1:77">
      <c r="A32" s="35">
        <v>18</v>
      </c>
      <c r="B32" s="14" t="s">
        <v>32</v>
      </c>
      <c r="C32" s="18">
        <f>194.4*0.5</f>
        <v>97.2</v>
      </c>
      <c r="D32" s="13">
        <v>0.9</v>
      </c>
      <c r="E32" s="11"/>
      <c r="F32" s="12"/>
    </row>
    <row r="33" spans="1:12">
      <c r="A33" s="13">
        <v>19</v>
      </c>
      <c r="B33" s="14" t="s">
        <v>33</v>
      </c>
      <c r="C33" s="18">
        <v>0.54</v>
      </c>
      <c r="D33" s="13">
        <v>2</v>
      </c>
      <c r="E33" s="13">
        <f>C33*D33</f>
        <v>1.08</v>
      </c>
      <c r="F33" s="18" t="s">
        <v>11</v>
      </c>
    </row>
    <row r="34" spans="1:12">
      <c r="A34" s="13">
        <v>20</v>
      </c>
      <c r="B34" s="14" t="s">
        <v>34</v>
      </c>
      <c r="C34" s="18">
        <v>12.6</v>
      </c>
      <c r="D34" s="13">
        <v>1</v>
      </c>
      <c r="E34" s="13"/>
      <c r="F34" s="18" t="s">
        <v>11</v>
      </c>
    </row>
    <row r="35" spans="1:12">
      <c r="A35" s="13"/>
      <c r="B35" s="14" t="s">
        <v>17</v>
      </c>
      <c r="C35" s="24">
        <f>SUM(C32:C34)</f>
        <v>110.34</v>
      </c>
      <c r="D35" s="14"/>
      <c r="E35" s="13">
        <f>SUM(E33:E33)</f>
        <v>1.08</v>
      </c>
    </row>
    <row r="36" spans="1:12">
      <c r="A36" s="30" t="s">
        <v>35</v>
      </c>
      <c r="B36" s="31"/>
      <c r="C36" s="31"/>
      <c r="D36" s="31"/>
      <c r="E36" s="31"/>
      <c r="F36" s="34"/>
    </row>
    <row r="37" spans="1:12">
      <c r="A37" s="13">
        <v>21</v>
      </c>
      <c r="B37" s="14" t="s">
        <v>36</v>
      </c>
      <c r="C37" s="36">
        <v>4</v>
      </c>
      <c r="D37" s="13">
        <v>1.6</v>
      </c>
      <c r="E37" s="37">
        <f>(1.28+0.12+1.04+4.4)*5</f>
        <v>34.2</v>
      </c>
      <c r="F37" s="33" t="s">
        <v>26</v>
      </c>
    </row>
    <row r="38" spans="1:12">
      <c r="A38" s="13">
        <v>22</v>
      </c>
      <c r="B38" s="14" t="s">
        <v>37</v>
      </c>
      <c r="C38" s="15">
        <f>1500*0.5</f>
        <v>750</v>
      </c>
      <c r="D38" s="13">
        <v>0.9</v>
      </c>
      <c r="E38" s="20">
        <v>113</v>
      </c>
      <c r="F38" s="18" t="s">
        <v>11</v>
      </c>
    </row>
    <row r="39" ht="31" spans="1:12">
      <c r="A39" s="13"/>
      <c r="B39" s="23" t="s">
        <v>17</v>
      </c>
      <c r="C39" s="24">
        <f>C37+C38</f>
        <v>754</v>
      </c>
      <c r="D39" s="25"/>
      <c r="E39" s="24">
        <f>SUM(E37:E38)</f>
        <v>147.2</v>
      </c>
      <c r="F39" s="38" t="s">
        <v>38</v>
      </c>
    </row>
    <row r="40" spans="1:12">
      <c r="A40" s="30" t="s">
        <v>39</v>
      </c>
      <c r="B40" s="31"/>
      <c r="C40" s="31"/>
      <c r="D40" s="31"/>
      <c r="E40" s="31"/>
      <c r="F40" s="34"/>
    </row>
    <row r="41" spans="1:12">
      <c r="A41" s="13">
        <v>23</v>
      </c>
      <c r="B41" s="14" t="s">
        <v>40</v>
      </c>
      <c r="C41" s="32">
        <v>340</v>
      </c>
      <c r="D41" s="13" t="s">
        <v>41</v>
      </c>
      <c r="E41" s="20" t="e">
        <f>D41*C41</f>
        <v>#VALUE!</v>
      </c>
      <c r="F41" s="33" t="s">
        <v>26</v>
      </c>
    </row>
    <row r="42" spans="1:12">
      <c r="A42" s="13">
        <v>24</v>
      </c>
      <c r="B42" s="14" t="s">
        <v>42</v>
      </c>
      <c r="C42" s="36">
        <v>45.8</v>
      </c>
      <c r="D42" s="13">
        <v>1.6</v>
      </c>
      <c r="E42" s="20">
        <f>C42*D42</f>
        <v>73.28</v>
      </c>
      <c r="F42" s="33" t="s">
        <v>26</v>
      </c>
    </row>
    <row r="43" spans="1:12">
      <c r="A43" s="13">
        <v>25</v>
      </c>
      <c r="B43" s="14" t="s">
        <v>43</v>
      </c>
      <c r="C43" s="36">
        <v>123.4</v>
      </c>
      <c r="D43" s="13">
        <v>1.6</v>
      </c>
      <c r="E43" s="20">
        <f t="shared" ref="E43:E45" si="3">D43*C43</f>
        <v>197.44</v>
      </c>
      <c r="F43" s="33" t="s">
        <v>26</v>
      </c>
    </row>
    <row r="44" spans="1:12">
      <c r="A44" s="13">
        <v>26</v>
      </c>
      <c r="B44" s="14" t="s">
        <v>44</v>
      </c>
      <c r="C44" s="39"/>
      <c r="D44" s="13">
        <v>1.6</v>
      </c>
      <c r="E44" s="20"/>
      <c r="F44" s="33" t="s">
        <v>26</v>
      </c>
    </row>
    <row r="45" spans="1:12">
      <c r="A45" s="13">
        <v>27</v>
      </c>
      <c r="B45" s="14" t="s">
        <v>45</v>
      </c>
      <c r="C45" s="36">
        <v>356</v>
      </c>
      <c r="D45" s="13">
        <v>1.6</v>
      </c>
      <c r="E45" s="20">
        <f t="shared" si="3"/>
        <v>569.6</v>
      </c>
      <c r="F45" s="33" t="s">
        <v>26</v>
      </c>
    </row>
    <row r="46" spans="1:12">
      <c r="A46" s="13"/>
      <c r="B46" s="23" t="s">
        <v>17</v>
      </c>
      <c r="C46" s="24">
        <v>741.8</v>
      </c>
      <c r="D46" s="25"/>
      <c r="E46" s="24" t="e">
        <f>SUM(E41:E45)</f>
        <v>#VALUE!</v>
      </c>
      <c r="F46" s="22" t="s">
        <v>26</v>
      </c>
    </row>
    <row r="47" spans="1:12">
      <c r="A47" s="30" t="s">
        <v>46</v>
      </c>
      <c r="B47" s="31"/>
      <c r="C47" s="31"/>
      <c r="D47" s="31"/>
      <c r="E47" s="31"/>
      <c r="F47" s="34"/>
    </row>
    <row r="48" spans="1:12">
      <c r="A48" s="13">
        <v>28</v>
      </c>
      <c r="B48" s="14" t="s">
        <v>47</v>
      </c>
      <c r="C48" s="40">
        <v>10000</v>
      </c>
      <c r="D48" s="13">
        <v>0.15</v>
      </c>
      <c r="E48" s="20">
        <f>C48*D48</f>
        <v>1500</v>
      </c>
      <c r="F48" s="22" t="s">
        <v>48</v>
      </c>
      <c r="L48" s="41"/>
    </row>
    <row r="49" spans="1:8">
      <c r="A49" s="13">
        <v>29</v>
      </c>
      <c r="B49" s="14" t="s">
        <v>49</v>
      </c>
      <c r="C49" s="40">
        <v>127</v>
      </c>
      <c r="D49" s="13">
        <v>0.4</v>
      </c>
      <c r="E49" s="20">
        <f>C49*D49</f>
        <v>50.8</v>
      </c>
      <c r="F49" s="22" t="s">
        <v>48</v>
      </c>
    </row>
    <row r="50" spans="1:8">
      <c r="A50" s="42"/>
      <c r="B50" s="43" t="s">
        <v>17</v>
      </c>
      <c r="C50" s="44">
        <f>SUM(C48:C49)</f>
        <v>10127</v>
      </c>
      <c r="D50" s="45"/>
      <c r="E50" s="44">
        <f>SUM(E48:E49)</f>
        <v>1550.8</v>
      </c>
      <c r="F50" s="46"/>
    </row>
    <row r="51" spans="1:8">
      <c r="A51" s="30" t="s">
        <v>50</v>
      </c>
      <c r="B51" s="31"/>
      <c r="C51" s="31"/>
      <c r="D51" s="31"/>
      <c r="E51" s="31"/>
      <c r="F51" s="34"/>
    </row>
    <row r="52" spans="1:8">
      <c r="A52" s="13">
        <v>30</v>
      </c>
      <c r="B52" s="14" t="s">
        <v>47</v>
      </c>
      <c r="C52" s="40">
        <v>38.19</v>
      </c>
      <c r="D52" s="13">
        <v>0.15</v>
      </c>
      <c r="E52" s="20">
        <f>C52*D52</f>
        <v>5.7285</v>
      </c>
      <c r="F52" s="22" t="s">
        <v>48</v>
      </c>
    </row>
    <row r="53" spans="1:8">
      <c r="A53" s="42"/>
      <c r="B53" s="43" t="s">
        <v>17</v>
      </c>
      <c r="C53" s="44">
        <f>SUM(C52:C52)</f>
        <v>38.19</v>
      </c>
      <c r="D53" s="45"/>
      <c r="E53" s="44">
        <f>SUM(E52:E52)</f>
        <v>5.7285</v>
      </c>
      <c r="F53" s="22" t="s">
        <v>48</v>
      </c>
    </row>
    <row r="54" ht="18.75" customHeight="1" spans="1:8">
      <c r="A54" s="42"/>
      <c r="B54" s="45" t="s">
        <v>51</v>
      </c>
      <c r="C54" s="44">
        <f>C53+C50+C46+C39+C35+C30+C25+C22+C13</f>
        <v>37329.336</v>
      </c>
      <c r="D54" s="47" t="s">
        <v>26</v>
      </c>
      <c r="E54" s="17" t="e">
        <f>E13+E25+E35+E39+E46+E50</f>
        <v>#REF!</v>
      </c>
      <c r="F54" s="48">
        <f>C24+C37+C41+C42+C43+C44+C45</f>
        <v>1039.8</v>
      </c>
      <c r="G54" s="27"/>
      <c r="H54" s="27"/>
    </row>
    <row r="55" spans="1:8">
      <c r="A55" s="49"/>
      <c r="B55" s="50"/>
      <c r="C55" s="51"/>
      <c r="D55" s="52" t="s">
        <v>11</v>
      </c>
      <c r="E55" s="53"/>
      <c r="F55" s="54">
        <f>C13+C22+C30+C35+C38</f>
        <v>26247.746</v>
      </c>
      <c r="H55" s="27">
        <f>F55-(C46+C38+C35+C30)</f>
        <v>24041.856</v>
      </c>
    </row>
    <row r="56" ht="31" customHeight="1" spans="1:8">
      <c r="A56" s="55" t="s">
        <v>52</v>
      </c>
      <c r="B56" s="55"/>
      <c r="C56" s="55"/>
      <c r="D56" s="55"/>
      <c r="E56" s="55"/>
      <c r="F56" s="55"/>
    </row>
    <row r="57" spans="1:8">
      <c r="F57" s="27"/>
    </row>
  </sheetData>
  <mergeCells count="16">
    <mergeCell ref="A2:B2"/>
    <mergeCell ref="C2:F2"/>
    <mergeCell ref="A3:F3"/>
    <mergeCell ref="A6:F6"/>
    <mergeCell ref="A14:F14"/>
    <mergeCell ref="A23:F23"/>
    <mergeCell ref="A26:F26"/>
    <mergeCell ref="A31:F31"/>
    <mergeCell ref="A36:F36"/>
    <mergeCell ref="A40:F40"/>
    <mergeCell ref="A47:F47"/>
    <mergeCell ref="A51:F51"/>
    <mergeCell ref="A56:F56"/>
    <mergeCell ref="A54:A55"/>
    <mergeCell ref="B54:B55"/>
    <mergeCell ref="C54:C55"/>
  </mergeCells>
  <pageMargins left="0.708661417322835" right="0.708661417322835" top="0.748031496062992" bottom="0.748031496062992" header="0.31496062992126" footer="0.31496062992126"/>
  <pageSetup paperSize="9" scale="8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ЗЕМработ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Айдар</cp:lastModifiedBy>
  <dcterms:created xsi:type="dcterms:W3CDTF">2024-12-09T06:08:00Z</dcterms:created>
  <cp:lastPrinted>2026-02-09T11:12:00Z</cp:lastPrinted>
  <dcterms:modified xsi:type="dcterms:W3CDTF">2026-05-04T12:39:05Z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E2D013E66411462BB3C8E29DBD342408_13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